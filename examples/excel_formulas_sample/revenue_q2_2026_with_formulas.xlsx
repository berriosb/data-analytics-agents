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nali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revenue</t>
        </is>
      </c>
      <c r="C1" t="inlineStr">
        <is>
          <t>costs</t>
        </is>
      </c>
      <c r="E1" t="inlineStr">
        <is>
          <t>segmento</t>
        </is>
      </c>
      <c r="F1" t="inlineStr">
        <is>
          <t>nombre</t>
        </is>
      </c>
    </row>
    <row r="2">
      <c r="A2" t="n">
        <v>1</v>
      </c>
      <c r="B2" t="n">
        <v>1500</v>
      </c>
      <c r="C2" t="n">
        <v>800</v>
      </c>
      <c r="E2" t="inlineStr">
        <is>
          <t>Enterprise</t>
        </is>
      </c>
      <c r="F2" t="inlineStr">
        <is>
          <t>ACME Corp</t>
        </is>
      </c>
    </row>
    <row r="3">
      <c r="A3" t="n">
        <v>2</v>
      </c>
      <c r="B3" t="n">
        <v>2300</v>
      </c>
      <c r="C3" t="n">
        <v>1100</v>
      </c>
      <c r="E3" t="inlineStr">
        <is>
          <t>Enterprise</t>
        </is>
      </c>
      <c r="F3" t="inlineStr">
        <is>
          <t>Globex</t>
        </is>
      </c>
    </row>
    <row r="4">
      <c r="A4" t="n">
        <v>3</v>
      </c>
      <c r="B4" t="n">
        <v>950</v>
      </c>
      <c r="C4" t="n">
        <v>600</v>
      </c>
      <c r="E4" t="inlineStr">
        <is>
          <t>SMB</t>
        </is>
      </c>
      <c r="F4" t="inlineStr">
        <is>
          <t>Initech</t>
        </is>
      </c>
    </row>
    <row r="5">
      <c r="A5" t="n">
        <v>4</v>
      </c>
      <c r="B5" t="n">
        <v>3200</v>
      </c>
      <c r="C5" t="n">
        <v>1900</v>
      </c>
      <c r="E5" t="inlineStr">
        <is>
          <t>Enterprise</t>
        </is>
      </c>
      <c r="F5" t="inlineStr">
        <is>
          <t>Hooli</t>
        </is>
      </c>
    </row>
    <row r="6">
      <c r="A6" t="n">
        <v>5</v>
      </c>
      <c r="B6" t="n">
        <v>1100</v>
      </c>
      <c r="C6" t="n">
        <v>700</v>
      </c>
      <c r="E6" t="inlineStr">
        <is>
          <t>Mid-market</t>
        </is>
      </c>
      <c r="F6" t="inlineStr">
        <is>
          <t>Pied Piper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Valor</t>
        </is>
      </c>
      <c r="C1" s="1" t="inlineStr">
        <is>
          <t>Formula</t>
        </is>
      </c>
    </row>
    <row r="2">
      <c r="A2" t="inlineStr">
        <is>
          <t>Total revenue Q2</t>
        </is>
      </c>
      <c r="B2">
        <f>SUM(Data!B2:B6)</f>
        <v/>
      </c>
      <c r="C2" t="inlineStr">
        <is>
          <t>Aggregate</t>
        </is>
      </c>
    </row>
    <row r="3">
      <c r="A3" t="inlineStr">
        <is>
          <t>Promedio revenue</t>
        </is>
      </c>
      <c r="B3">
        <f>AVERAGE(Data!B2:B6)</f>
        <v/>
      </c>
      <c r="C3" t="inlineStr">
        <is>
          <t>Aggregate</t>
        </is>
      </c>
    </row>
    <row r="4">
      <c r="A4" t="inlineStr">
        <is>
          <t>Max revenue</t>
        </is>
      </c>
      <c r="B4" t="inlineStr">
        <is>
          <t>MAX(Data!B2:B6)</t>
        </is>
      </c>
      <c r="C4" t="inlineStr">
        <is>
          <t>Aggregate (prefijo '=' omitido para test)</t>
        </is>
      </c>
    </row>
    <row r="5">
      <c r="A5" t="inlineStr">
        <is>
          <t>Segmento cliente 1</t>
        </is>
      </c>
      <c r="B5">
        <f>VLOOKUP(1, Data!A2:E6, 5, FALSE)</f>
        <v/>
      </c>
      <c r="C5" t="inlineStr">
        <is>
          <t>Lookup</t>
        </is>
      </c>
    </row>
    <row r="6">
      <c r="A6" t="inlineStr">
        <is>
          <t>Revenue sobre 1000?</t>
        </is>
      </c>
      <c r="B6">
        <f>IF(SUM(Data!B2:B6)&gt;10000, "alto", "bajo")</f>
        <v/>
      </c>
      <c r="C6" t="inlineStr">
        <is>
          <t>Logical</t>
        </is>
      </c>
    </row>
    <row r="7">
      <c r="A7" t="inlineStr">
        <is>
          <t>Total safe (IFERROR)</t>
        </is>
      </c>
      <c r="B7">
        <f>IFERROR(SUM(Data!B2:B6)/0, "division por cero")</f>
        <v/>
      </c>
      <c r="C7" t="inlineStr">
        <is>
          <t>Logical</t>
        </is>
      </c>
    </row>
    <row r="8">
      <c r="A8" t="inlineStr">
        <is>
          <t>Total redondeado</t>
        </is>
      </c>
      <c r="B8">
        <f>ROUND(SUM(Data!B2:B6), 2)</f>
        <v/>
      </c>
      <c r="C8" t="inlineStr">
        <is>
          <t>Math</t>
        </is>
      </c>
    </row>
    <row r="9">
      <c r="A9" t="inlineStr">
        <is>
          <t>Diferencia revenue max - min</t>
        </is>
      </c>
      <c r="B9">
        <f>ABS(MAX(Data!B2:B6)-MIN(Data!B2:B6))</f>
        <v/>
      </c>
      <c r="C9" t="inlineStr">
        <is>
          <t>Math</t>
        </is>
      </c>
    </row>
    <row r="10">
      <c r="A10" t="inlineStr">
        <is>
          <t>Total costs</t>
        </is>
      </c>
      <c r="B10">
        <f>SUM(Data!C2:C6)</f>
        <v/>
      </c>
      <c r="C10" t="inlineStr">
        <is>
          <t>Cross-sheet reference</t>
        </is>
      </c>
    </row>
    <row r="11">
      <c r="A11" t="inlineStr">
        <is>
          <t>Margen %</t>
        </is>
      </c>
      <c r="B11">
        <f>IFERROR((B2-B10)/B2, 0)</f>
        <v/>
      </c>
      <c r="C11" t="inlineStr">
        <is>
          <t>Logical (compuesta)</t>
        </is>
      </c>
    </row>
    <row r="12">
      <c r="A12" t="inlineStr">
        <is>
          <t>Timestamp auditoria</t>
        </is>
      </c>
      <c r="B12">
        <f>NOW()</f>
        <v/>
      </c>
      <c r="C12" t="inlineStr">
        <is>
          <t>Date (volatile)</t>
        </is>
      </c>
    </row>
    <row r="13">
      <c r="A13" t="inlineStr">
        <is>
          <t>Lookup que falla</t>
        </is>
      </c>
      <c r="B13">
        <f>VLOOKUP(999, Data!A2:E6, 5, FALSE)</f>
        <v/>
      </c>
      <c r="C13" t="inlineStr">
        <is>
          <t>Lookup (debe dar #N/A)</t>
        </is>
      </c>
    </row>
    <row r="14">
      <c r="A14" t="inlineStr">
        <is>
          <t>Referencia rota</t>
        </is>
      </c>
      <c r="B14">
        <f>SUM(Data!Z1:Z99)</f>
        <v/>
      </c>
      <c r="C14" t="inlineStr">
        <is>
          <t>Error (#REF! o vacio segun version de openpyxl)</t>
        </is>
      </c>
    </row>
    <row r="15">
      <c r="A15" t="inlineStr">
        <is>
          <t>Total redondeado + IF</t>
        </is>
      </c>
      <c r="B15">
        <f>IF(ROUND(SUM(Data!B2:B6), 0) &gt; 10000, ROUND(SUM(Data!B2:B6)/12, 2), 0)</f>
        <v/>
      </c>
      <c r="C15" t="inlineStr">
        <is>
          <t>Logical+Math (compuesta, complex)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2026-09-14T18:47:21Z</dcterms:created>
  <dcterms:modified xmlns:dcterms="http://purl.org/dc/terms/" xmlns:xsi="http://www.w3.org/2001/XMLSchema-instance" xsi:type="dcterms:W3CDTF">2026-09-14T18:47:21Z</dcterms:modified>
</cp:coreProperties>
</file>